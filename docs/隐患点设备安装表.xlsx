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<sst xmlns="http://schemas.openxmlformats.org/spreadsheetml/2006/main" count="163" uniqueCount="102">
  <si>
    <t>序号</t>
  </si>
  <si>
    <t>编号</t>
  </si>
  <si>
    <t>隐患点名称</t>
  </si>
  <si>
    <t>灾害类型</t>
  </si>
  <si>
    <t>经度</t>
  </si>
  <si>
    <t>纬度</t>
  </si>
  <si>
    <t>气象站</t>
  </si>
  <si>
    <t>普通GNSS</t>
  </si>
  <si>
    <t>北斗GNSS</t>
  </si>
  <si>
    <t>雨量计</t>
  </si>
  <si>
    <t>流量计</t>
  </si>
  <si>
    <t>摄像头</t>
  </si>
  <si>
    <t>布设部位及备注</t>
  </si>
  <si>
    <t>SG38</t>
  </si>
  <si>
    <t>官牛犋村阿什浪沟泥石流</t>
  </si>
  <si>
    <t>泥石流</t>
  </si>
  <si>
    <t>上游及沟口各设1处流量断面；视频观测沟口过程。</t>
  </si>
  <si>
    <r>
      <rPr>
        <sz val="10.5"/>
        <color theme="1"/>
        <rFont val="宋体"/>
        <charset val="134"/>
      </rPr>
      <t>流量计</t>
    </r>
    <r>
      <rPr>
        <sz val="10.5"/>
        <color theme="1"/>
        <rFont val="Calibri"/>
        <charset val="134"/>
      </rPr>
      <t>1 E110.19939901 N40.75210070</t>
    </r>
    <r>
      <rPr>
        <sz val="10.5"/>
        <color theme="1"/>
        <rFont val="宋体"/>
        <charset val="134"/>
      </rPr>
      <t>流量计</t>
    </r>
    <r>
      <rPr>
        <sz val="10.5"/>
        <color theme="1"/>
        <rFont val="Calibri"/>
        <charset val="134"/>
      </rPr>
      <t xml:space="preserve">2 E110.23572069  N40.74698310 </t>
    </r>
    <r>
      <rPr>
        <sz val="10.5"/>
        <color theme="1"/>
        <rFont val="宋体"/>
        <charset val="134"/>
      </rPr>
      <t>，雨量计和第一个流量计安装一起。</t>
    </r>
  </si>
  <si>
    <t>SG48</t>
  </si>
  <si>
    <t>李家沟泥石流</t>
  </si>
  <si>
    <t>SG06</t>
  </si>
  <si>
    <t>五当沟村韩同会滑坡</t>
  </si>
  <si>
    <t>滑坡</t>
  </si>
  <si>
    <t>GNSS分设后缘、中部、前缘，北斗终端设后缘。流量计控制关联沟道。视频覆盖危险部位及受威胁侧。</t>
  </si>
  <si>
    <t>SG23</t>
  </si>
  <si>
    <t>白草沟村潮哈窑子南侧滑坡</t>
  </si>
  <si>
    <t>GNSS分设后缘、中部、前缘，北斗终端设后缘。流量计控制关联沟道。</t>
  </si>
  <si>
    <t>SG56</t>
  </si>
  <si>
    <t>大发村西南滑坡</t>
  </si>
  <si>
    <t>GNSS分设后缘、中部、前缘，北斗终端设后缘。</t>
  </si>
  <si>
    <t>需沟通确认</t>
  </si>
  <si>
    <t>SG60</t>
  </si>
  <si>
    <t>黄土原村红旗山滑坡</t>
  </si>
  <si>
    <r>
      <rPr>
        <sz val="10.5"/>
        <color theme="1"/>
        <rFont val="宋体"/>
        <charset val="134"/>
      </rPr>
      <t>雨量计和最上面</t>
    </r>
    <r>
      <rPr>
        <sz val="10.5"/>
        <color theme="1"/>
        <rFont val="Calibri"/>
        <charset val="134"/>
      </rPr>
      <t>GNSS</t>
    </r>
    <r>
      <rPr>
        <sz val="10.5"/>
        <color theme="1"/>
        <rFont val="宋体"/>
        <charset val="134"/>
      </rPr>
      <t>装一起</t>
    </r>
  </si>
  <si>
    <t>SG61</t>
  </si>
  <si>
    <t>红旗山东北滑坡</t>
  </si>
  <si>
    <t>第一天半山坡点，需确定</t>
  </si>
  <si>
    <t>SG05</t>
  </si>
  <si>
    <t>五当沟村韩同会地面塌陷</t>
  </si>
  <si>
    <t>地面塌陷</t>
  </si>
  <si>
    <t>GNSS沿沉降剖面布设中心影响段和边缘过渡段。</t>
  </si>
  <si>
    <t>需确认范围</t>
  </si>
  <si>
    <t>SG07</t>
  </si>
  <si>
    <t>五当沟村古城塔地面塌陷</t>
  </si>
  <si>
    <t>SG08</t>
  </si>
  <si>
    <t>五当沟村狸猫渠地面塌陷</t>
  </si>
  <si>
    <t>GNSS控制代表性沉降部位，结合人工巡测。</t>
  </si>
  <si>
    <t>SG45</t>
  </si>
  <si>
    <t>矿一中地面塌陷</t>
  </si>
  <si>
    <t>GNSS沿沉降剖面布设中心影响段和边缘过渡段。视频覆盖危险部位及受威胁侧。</t>
  </si>
  <si>
    <t>SG49</t>
  </si>
  <si>
    <t>大磁二居委地面塌陷</t>
  </si>
  <si>
    <t>SG52</t>
  </si>
  <si>
    <t>黄土塬村东北190m大磁六中前地面塌陷</t>
  </si>
  <si>
    <t>SG54</t>
  </si>
  <si>
    <t>二矿北地面塌陷</t>
  </si>
  <si>
    <t>SG55</t>
  </si>
  <si>
    <t>二矿地面塌陷</t>
  </si>
  <si>
    <t>SG65</t>
  </si>
  <si>
    <t>工人村东南600m处地面塌陷</t>
  </si>
  <si>
    <t>SG75</t>
  </si>
  <si>
    <t>（新增）厂汉沟村喇嘛坝村地面塌陷</t>
  </si>
  <si>
    <t>SG01</t>
  </si>
  <si>
    <t>五当沟村立甲子公路崩塌</t>
  </si>
  <si>
    <t>崩塌</t>
  </si>
  <si>
    <t>GNSS控制关键危岩块段。流量计控制关联沟道。视频覆盖危险部位及受威胁侧。</t>
  </si>
  <si>
    <t>SG18</t>
  </si>
  <si>
    <t>白草沟村河北崩塌</t>
  </si>
  <si>
    <t>GNSS控制关键危岩块段。</t>
  </si>
  <si>
    <t>SG24</t>
  </si>
  <si>
    <t>白草沟村委格亥图崩塌</t>
  </si>
  <si>
    <t>GNSS控制关键危岩块段。流量计控制关联沟道。</t>
  </si>
  <si>
    <t>SG27</t>
  </si>
  <si>
    <t>曙光村委毛忽洞崩塌</t>
  </si>
  <si>
    <t>无威胁对象，暂不安装</t>
  </si>
  <si>
    <t>SG29</t>
  </si>
  <si>
    <t>腮大坝崩塌</t>
  </si>
  <si>
    <t>SG30</t>
  </si>
  <si>
    <t>腮大坝北崩塌</t>
  </si>
  <si>
    <t>SG66</t>
  </si>
  <si>
    <t>磁窑村东北770m青大五线路旁崩塌</t>
  </si>
  <si>
    <t>SG67</t>
  </si>
  <si>
    <t>石窑村东北800m青大五线路边崩塌</t>
  </si>
  <si>
    <t>SG68</t>
  </si>
  <si>
    <t>石窑村西南青大五线路边崩塌</t>
  </si>
  <si>
    <t>SG69</t>
  </si>
  <si>
    <t>五当沟村西南1.3km沙明线（X076）路边崩塌</t>
  </si>
  <si>
    <t>SG70</t>
  </si>
  <si>
    <t>当铺窑村南S506路边崩塌</t>
  </si>
  <si>
    <t>SG71</t>
  </si>
  <si>
    <t>石拐子西沟村东南S506路边崩塌</t>
  </si>
  <si>
    <t>SG78</t>
  </si>
  <si>
    <t>（新增）官牛犋大桥东侧旧路崩塌（2025 新增）</t>
  </si>
  <si>
    <t>SG31</t>
  </si>
  <si>
    <t>缸房地村委羊场沟滑坡</t>
  </si>
  <si>
    <t>—</t>
  </si>
  <si>
    <t>青山村大董瓜村小组崩塌</t>
  </si>
  <si>
    <t>白草沟华源加油站北部崩塌</t>
  </si>
  <si>
    <t>GNSS控制关键危岩块段。视频覆盖危险部位及受威胁侧。</t>
  </si>
  <si>
    <t>点位在院子里，需确认</t>
  </si>
  <si>
    <t>合计</t>
  </si>
  <si>
    <t>33处隐患点，共101台设备。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</si>
</sst>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CE6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justify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workbookViewId="0">
      <pane ySplit="1" topLeftCell="A2" activePane="bottomLeft" state="frozen"/>
      <selection/>
      <selection pane="bottomLeft" activeCell="A1" sqref="A1:N35"/>
    </sheetView>
  </sheetViews>
  <sheetFormatPr defaultColWidth="8.88888888888889" defaultRowHeight="14.4"/>
  <cols>
    <col min="2" max="2" width="17.5555555555556" customWidth="1"/>
    <col min="3" max="3" width="28.6666666666667" customWidth="1"/>
    <col min="4" max="4" width="15" customWidth="1"/>
    <col min="5" max="5" width="14.3333333333333" customWidth="1"/>
    <col min="7" max="7" width="9.77777777777778" customWidth="1"/>
    <col min="8" max="9" width="11.8888888888889" customWidth="1"/>
    <col min="13" max="13" width="34.1111111111111" customWidth="1"/>
    <col min="14" max="14" width="28.2222222222222" customWidth="1"/>
  </cols>
  <sheetData>
    <row r="1" spans="1:1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72.75" spans="1:14">
      <c r="A2" s="4">
        <v>1</v>
      </c>
      <c r="B2" s="5" t="s">
        <v>13</v>
      </c>
      <c r="C2" s="6" t="s">
        <v>14</v>
      </c>
      <c r="D2" s="5" t="s">
        <v>15</v>
      </c>
      <c r="E2" s="5">
        <v>110.199444</v>
      </c>
      <c r="F2" s="5">
        <v>40.748944</v>
      </c>
      <c r="G2" s="7">
        <v>1</v>
      </c>
      <c r="H2" s="8">
        <v>0</v>
      </c>
      <c r="I2" s="8">
        <v>0</v>
      </c>
      <c r="J2" s="8">
        <v>0</v>
      </c>
      <c r="K2" s="8">
        <v>2</v>
      </c>
      <c r="L2" s="8">
        <v>1</v>
      </c>
      <c r="M2" s="6" t="s">
        <v>16</v>
      </c>
      <c r="N2" s="9" t="s">
        <v>17</v>
      </c>
    </row>
    <row r="3" ht="29.55" spans="1:14">
      <c r="A3" s="10">
        <v>2</v>
      </c>
      <c r="B3" s="11" t="s">
        <v>18</v>
      </c>
      <c r="C3" s="12" t="s">
        <v>19</v>
      </c>
      <c r="D3" s="11" t="s">
        <v>15</v>
      </c>
      <c r="E3" s="11">
        <v>110.258278</v>
      </c>
      <c r="F3" s="11">
        <v>40.658389</v>
      </c>
      <c r="G3" s="13">
        <v>1</v>
      </c>
      <c r="H3" s="14">
        <v>0</v>
      </c>
      <c r="I3" s="14">
        <v>0</v>
      </c>
      <c r="J3" s="14">
        <v>0</v>
      </c>
      <c r="K3" s="14">
        <v>2</v>
      </c>
      <c r="L3" s="14">
        <v>1</v>
      </c>
      <c r="M3" s="12" t="s">
        <v>16</v>
      </c>
    </row>
    <row r="4" ht="43.95" spans="1:14">
      <c r="A4" s="4">
        <v>3</v>
      </c>
      <c r="B4" s="5" t="s">
        <v>20</v>
      </c>
      <c r="C4" s="6" t="s">
        <v>21</v>
      </c>
      <c r="D4" s="5" t="s">
        <v>22</v>
      </c>
      <c r="E4" s="5">
        <v>110.286556</v>
      </c>
      <c r="F4" s="5">
        <v>40.618361</v>
      </c>
      <c r="G4" s="7">
        <v>0</v>
      </c>
      <c r="H4" s="8">
        <v>0</v>
      </c>
      <c r="I4" s="8">
        <v>3</v>
      </c>
      <c r="J4" s="8">
        <v>1</v>
      </c>
      <c r="K4" s="8">
        <v>0</v>
      </c>
      <c r="L4" s="8">
        <v>1</v>
      </c>
      <c r="M4" s="6" t="s">
        <v>23</v>
      </c>
    </row>
    <row r="5" ht="29.55" spans="1:14">
      <c r="A5" s="10">
        <v>4</v>
      </c>
      <c r="B5" s="11" t="s">
        <v>24</v>
      </c>
      <c r="C5" s="12" t="s">
        <v>25</v>
      </c>
      <c r="D5" s="11" t="s">
        <v>22</v>
      </c>
      <c r="E5" s="11">
        <v>110.217667</v>
      </c>
      <c r="F5" s="11">
        <v>40.685611</v>
      </c>
      <c r="G5" s="13">
        <v>0</v>
      </c>
      <c r="H5" s="14">
        <v>3</v>
      </c>
      <c r="I5" s="14">
        <v>0</v>
      </c>
      <c r="J5" s="14">
        <v>1</v>
      </c>
      <c r="K5" s="14">
        <v>0</v>
      </c>
      <c r="L5" s="14">
        <v>0</v>
      </c>
      <c r="M5" s="12" t="s">
        <v>26</v>
      </c>
    </row>
    <row r="6" ht="29.55" spans="1:14">
      <c r="A6" s="4">
        <v>5</v>
      </c>
      <c r="B6" s="5" t="s">
        <v>27</v>
      </c>
      <c r="C6" s="6" t="s">
        <v>28</v>
      </c>
      <c r="D6" s="5" t="s">
        <v>22</v>
      </c>
      <c r="E6" s="5">
        <v>110.289861</v>
      </c>
      <c r="F6" s="5">
        <v>40.698639</v>
      </c>
      <c r="G6" s="7">
        <v>0</v>
      </c>
      <c r="H6" s="8">
        <v>2</v>
      </c>
      <c r="I6" s="8">
        <v>0</v>
      </c>
      <c r="J6" s="8">
        <v>1</v>
      </c>
      <c r="K6" s="8">
        <v>0</v>
      </c>
      <c r="L6" s="8">
        <v>0</v>
      </c>
      <c r="M6" s="6" t="s">
        <v>29</v>
      </c>
      <c r="N6" s="15" t="s">
        <v>30</v>
      </c>
    </row>
    <row r="7" ht="29.55" spans="1:14">
      <c r="A7" s="10">
        <v>6</v>
      </c>
      <c r="B7" s="11" t="s">
        <v>31</v>
      </c>
      <c r="C7" s="12" t="s">
        <v>32</v>
      </c>
      <c r="D7" s="11" t="s">
        <v>22</v>
      </c>
      <c r="E7" s="11">
        <v>110.272167</v>
      </c>
      <c r="F7" s="11">
        <v>40.696389</v>
      </c>
      <c r="G7" s="13">
        <v>0</v>
      </c>
      <c r="H7" s="14">
        <v>3</v>
      </c>
      <c r="I7" s="14">
        <v>0</v>
      </c>
      <c r="J7" s="14">
        <v>1</v>
      </c>
      <c r="K7" s="14">
        <v>0</v>
      </c>
      <c r="L7" s="14">
        <v>0</v>
      </c>
      <c r="M7" s="12" t="s">
        <v>29</v>
      </c>
      <c r="N7" s="15" t="s">
        <v>33</v>
      </c>
    </row>
    <row r="8" ht="29.55" spans="1:14">
      <c r="A8" s="4">
        <v>7</v>
      </c>
      <c r="B8" s="5" t="s">
        <v>34</v>
      </c>
      <c r="C8" s="6" t="s">
        <v>35</v>
      </c>
      <c r="D8" s="5" t="s">
        <v>22</v>
      </c>
      <c r="E8" s="5">
        <v>110.272472</v>
      </c>
      <c r="F8" s="5">
        <v>40.683333</v>
      </c>
      <c r="G8" s="7">
        <v>0</v>
      </c>
      <c r="H8" s="8">
        <v>3</v>
      </c>
      <c r="I8" s="8">
        <v>0</v>
      </c>
      <c r="J8" s="8">
        <v>1</v>
      </c>
      <c r="K8" s="8">
        <v>0</v>
      </c>
      <c r="L8" s="8">
        <v>0</v>
      </c>
      <c r="M8" s="6" t="s">
        <v>29</v>
      </c>
      <c r="N8" s="15" t="s">
        <v>36</v>
      </c>
    </row>
    <row r="9" ht="29.55" spans="1:14">
      <c r="A9" s="10">
        <v>8</v>
      </c>
      <c r="B9" s="11" t="s">
        <v>37</v>
      </c>
      <c r="C9" s="12" t="s">
        <v>38</v>
      </c>
      <c r="D9" s="11" t="s">
        <v>39</v>
      </c>
      <c r="E9" s="11">
        <v>110.287028</v>
      </c>
      <c r="F9" s="11">
        <v>40.619278</v>
      </c>
      <c r="G9" s="13">
        <v>0</v>
      </c>
      <c r="H9" s="14">
        <v>0</v>
      </c>
      <c r="I9" s="14">
        <v>2</v>
      </c>
      <c r="J9" s="14">
        <v>0</v>
      </c>
      <c r="K9" s="14">
        <v>0</v>
      </c>
      <c r="L9" s="14">
        <v>0</v>
      </c>
      <c r="M9" s="12" t="s">
        <v>40</v>
      </c>
      <c r="N9" t="s">
        <v>41</v>
      </c>
    </row>
    <row r="10" ht="29.55" spans="1:14">
      <c r="A10" s="4">
        <v>9</v>
      </c>
      <c r="B10" s="5" t="s">
        <v>42</v>
      </c>
      <c r="C10" s="6" t="s">
        <v>43</v>
      </c>
      <c r="D10" s="5" t="s">
        <v>39</v>
      </c>
      <c r="E10" s="5">
        <v>110.280972</v>
      </c>
      <c r="F10" s="5">
        <v>40.657472</v>
      </c>
      <c r="G10" s="7">
        <v>0</v>
      </c>
      <c r="H10" s="8">
        <v>1</v>
      </c>
      <c r="I10" s="8">
        <v>0</v>
      </c>
      <c r="J10" s="8">
        <v>1</v>
      </c>
      <c r="K10" s="8">
        <v>0</v>
      </c>
      <c r="L10" s="8">
        <v>0</v>
      </c>
      <c r="M10" s="6" t="s">
        <v>40</v>
      </c>
      <c r="N10" t="s">
        <v>41</v>
      </c>
    </row>
    <row r="11" ht="29.55" spans="1:14">
      <c r="A11" s="10">
        <v>10</v>
      </c>
      <c r="B11" s="11" t="s">
        <v>44</v>
      </c>
      <c r="C11" s="12" t="s">
        <v>45</v>
      </c>
      <c r="D11" s="11" t="s">
        <v>39</v>
      </c>
      <c r="E11" s="11">
        <v>110.289361</v>
      </c>
      <c r="F11" s="11">
        <v>40.656167</v>
      </c>
      <c r="G11" s="13">
        <v>0</v>
      </c>
      <c r="H11" s="14">
        <v>1</v>
      </c>
      <c r="I11" s="14">
        <v>0</v>
      </c>
      <c r="J11" s="14">
        <v>1</v>
      </c>
      <c r="K11" s="14">
        <v>0</v>
      </c>
      <c r="L11" s="14">
        <v>0</v>
      </c>
      <c r="M11" s="12" t="s">
        <v>46</v>
      </c>
      <c r="N11" t="s">
        <v>41</v>
      </c>
    </row>
    <row r="12" ht="43.95" spans="1:14">
      <c r="A12" s="4">
        <v>11</v>
      </c>
      <c r="B12" s="5" t="s">
        <v>47</v>
      </c>
      <c r="C12" s="6" t="s">
        <v>48</v>
      </c>
      <c r="D12" s="5" t="s">
        <v>39</v>
      </c>
      <c r="E12" s="5">
        <v>110.2685</v>
      </c>
      <c r="F12" s="5">
        <v>40.663333</v>
      </c>
      <c r="G12" s="7">
        <v>0</v>
      </c>
      <c r="H12" s="8">
        <v>1</v>
      </c>
      <c r="I12" s="8">
        <v>0</v>
      </c>
      <c r="J12" s="8">
        <v>1</v>
      </c>
      <c r="K12" s="8">
        <v>0</v>
      </c>
      <c r="L12" s="8">
        <v>1</v>
      </c>
      <c r="M12" s="6" t="s">
        <v>49</v>
      </c>
      <c r="N12" t="s">
        <v>41</v>
      </c>
    </row>
    <row r="13" ht="29.55" spans="1:14">
      <c r="A13" s="10">
        <v>12</v>
      </c>
      <c r="B13" s="11" t="s">
        <v>50</v>
      </c>
      <c r="C13" s="12" t="s">
        <v>51</v>
      </c>
      <c r="D13" s="11" t="s">
        <v>39</v>
      </c>
      <c r="E13" s="11">
        <v>110.268472</v>
      </c>
      <c r="F13" s="11">
        <v>40.69325</v>
      </c>
      <c r="G13" s="13">
        <v>0</v>
      </c>
      <c r="H13" s="14">
        <v>1</v>
      </c>
      <c r="I13" s="14">
        <v>0</v>
      </c>
      <c r="J13" s="14">
        <v>1</v>
      </c>
      <c r="K13" s="14">
        <v>0</v>
      </c>
      <c r="L13" s="14">
        <v>0</v>
      </c>
      <c r="M13" s="12" t="s">
        <v>46</v>
      </c>
      <c r="N13" t="s">
        <v>41</v>
      </c>
    </row>
    <row r="14" ht="43.95" spans="1:14">
      <c r="A14" s="4">
        <v>13</v>
      </c>
      <c r="B14" s="5" t="s">
        <v>52</v>
      </c>
      <c r="C14" s="6" t="s">
        <v>53</v>
      </c>
      <c r="D14" s="5" t="s">
        <v>39</v>
      </c>
      <c r="E14" s="5">
        <v>110.269417</v>
      </c>
      <c r="F14" s="5">
        <v>40.700667</v>
      </c>
      <c r="G14" s="7">
        <v>0</v>
      </c>
      <c r="H14" s="8">
        <v>1</v>
      </c>
      <c r="I14" s="8">
        <v>0</v>
      </c>
      <c r="J14" s="8">
        <v>1</v>
      </c>
      <c r="K14" s="8">
        <v>0</v>
      </c>
      <c r="L14" s="8">
        <v>1</v>
      </c>
      <c r="M14" s="6" t="s">
        <v>49</v>
      </c>
      <c r="N14" t="s">
        <v>41</v>
      </c>
    </row>
    <row r="15" ht="29.55" spans="1:14">
      <c r="A15" s="10">
        <v>14</v>
      </c>
      <c r="B15" s="11" t="s">
        <v>54</v>
      </c>
      <c r="C15" s="12" t="s">
        <v>55</v>
      </c>
      <c r="D15" s="11" t="s">
        <v>39</v>
      </c>
      <c r="E15" s="11">
        <v>110.285889</v>
      </c>
      <c r="F15" s="11">
        <v>40.710583</v>
      </c>
      <c r="G15" s="13">
        <v>0</v>
      </c>
      <c r="H15" s="13">
        <v>1</v>
      </c>
      <c r="I15" s="14">
        <v>0</v>
      </c>
      <c r="J15" s="14">
        <v>0</v>
      </c>
      <c r="K15" s="14">
        <v>0</v>
      </c>
      <c r="L15" s="14">
        <v>0</v>
      </c>
      <c r="M15" s="12" t="s">
        <v>40</v>
      </c>
      <c r="N15" t="s">
        <v>41</v>
      </c>
    </row>
    <row r="16" ht="29.55" spans="1:14">
      <c r="A16" s="4">
        <v>15</v>
      </c>
      <c r="B16" s="5" t="s">
        <v>56</v>
      </c>
      <c r="C16" s="6" t="s">
        <v>57</v>
      </c>
      <c r="D16" s="5" t="s">
        <v>39</v>
      </c>
      <c r="E16" s="5">
        <v>110.291222</v>
      </c>
      <c r="F16" s="5">
        <v>40.698444</v>
      </c>
      <c r="G16" s="7">
        <v>0</v>
      </c>
      <c r="H16" s="8">
        <v>1</v>
      </c>
      <c r="I16" s="8">
        <v>0</v>
      </c>
      <c r="J16" s="8">
        <v>1</v>
      </c>
      <c r="K16" s="8">
        <v>0</v>
      </c>
      <c r="L16" s="8">
        <v>0</v>
      </c>
      <c r="M16" s="6" t="s">
        <v>40</v>
      </c>
      <c r="N16" t="s">
        <v>41</v>
      </c>
    </row>
    <row r="17" ht="29.55" spans="1:14">
      <c r="A17" s="10">
        <v>16</v>
      </c>
      <c r="B17" s="11" t="s">
        <v>58</v>
      </c>
      <c r="C17" s="12" t="s">
        <v>59</v>
      </c>
      <c r="D17" s="11" t="s">
        <v>39</v>
      </c>
      <c r="E17" s="11">
        <v>110.280944</v>
      </c>
      <c r="F17" s="11">
        <v>40.674306</v>
      </c>
      <c r="G17" s="13">
        <v>0</v>
      </c>
      <c r="H17" s="14">
        <v>1</v>
      </c>
      <c r="I17" s="14">
        <v>0</v>
      </c>
      <c r="J17" s="14">
        <v>1</v>
      </c>
      <c r="K17" s="14">
        <v>0</v>
      </c>
      <c r="L17" s="14">
        <v>0</v>
      </c>
      <c r="M17" s="12" t="s">
        <v>46</v>
      </c>
      <c r="N17" t="s">
        <v>41</v>
      </c>
    </row>
    <row r="18" ht="29.55" spans="1:14">
      <c r="A18" s="4">
        <v>17</v>
      </c>
      <c r="B18" s="5" t="s">
        <v>60</v>
      </c>
      <c r="C18" s="6" t="s">
        <v>61</v>
      </c>
      <c r="D18" s="5" t="s">
        <v>39</v>
      </c>
      <c r="E18" s="5">
        <v>110.279361</v>
      </c>
      <c r="F18" s="5">
        <v>40.682167</v>
      </c>
      <c r="G18" s="7">
        <v>0</v>
      </c>
      <c r="H18" s="8">
        <v>1</v>
      </c>
      <c r="I18" s="8">
        <v>0</v>
      </c>
      <c r="J18" s="8">
        <v>1</v>
      </c>
      <c r="K18" s="8">
        <v>0</v>
      </c>
      <c r="L18" s="8">
        <v>0</v>
      </c>
      <c r="M18" s="6" t="s">
        <v>40</v>
      </c>
      <c r="N18" t="s">
        <v>41</v>
      </c>
    </row>
    <row r="19" ht="43.95" spans="1:14">
      <c r="A19" s="10">
        <v>18</v>
      </c>
      <c r="B19" s="11" t="s">
        <v>62</v>
      </c>
      <c r="C19" s="12" t="s">
        <v>63</v>
      </c>
      <c r="D19" s="11" t="s">
        <v>64</v>
      </c>
      <c r="E19" s="11">
        <v>110.29075</v>
      </c>
      <c r="F19" s="11">
        <v>40.634556</v>
      </c>
      <c r="G19" s="13">
        <v>0</v>
      </c>
      <c r="H19" s="14">
        <v>0</v>
      </c>
      <c r="I19" s="14">
        <v>2</v>
      </c>
      <c r="J19" s="14">
        <v>1</v>
      </c>
      <c r="K19" s="14">
        <v>0</v>
      </c>
      <c r="L19" s="14">
        <v>1</v>
      </c>
      <c r="M19" s="12" t="s">
        <v>65</v>
      </c>
    </row>
    <row r="20" ht="15.15" spans="1:14">
      <c r="A20" s="4">
        <v>19</v>
      </c>
      <c r="B20" s="5" t="s">
        <v>66</v>
      </c>
      <c r="C20" s="6" t="s">
        <v>67</v>
      </c>
      <c r="D20" s="5" t="s">
        <v>64</v>
      </c>
      <c r="E20" s="5">
        <v>110.260167</v>
      </c>
      <c r="F20" s="5">
        <v>40.683361</v>
      </c>
      <c r="G20" s="7">
        <v>0</v>
      </c>
      <c r="H20" s="8">
        <v>1</v>
      </c>
      <c r="I20" s="8">
        <v>0</v>
      </c>
      <c r="J20" s="8">
        <v>0</v>
      </c>
      <c r="K20" s="8">
        <v>0</v>
      </c>
      <c r="L20" s="8">
        <v>0</v>
      </c>
      <c r="M20" s="6" t="s">
        <v>68</v>
      </c>
    </row>
    <row r="21" ht="29.55" spans="1:14">
      <c r="A21" s="10">
        <v>20</v>
      </c>
      <c r="B21" s="11" t="s">
        <v>69</v>
      </c>
      <c r="C21" s="12" t="s">
        <v>70</v>
      </c>
      <c r="D21" s="11" t="s">
        <v>64</v>
      </c>
      <c r="E21" s="11">
        <v>110.254111</v>
      </c>
      <c r="F21" s="11">
        <v>40.658778</v>
      </c>
      <c r="G21" s="11">
        <v>0</v>
      </c>
      <c r="H21" s="13">
        <v>1</v>
      </c>
      <c r="I21" s="14">
        <v>0</v>
      </c>
      <c r="J21" s="14">
        <v>1</v>
      </c>
      <c r="K21" s="14">
        <v>0</v>
      </c>
      <c r="L21" s="14">
        <v>0</v>
      </c>
      <c r="M21" s="12" t="s">
        <v>71</v>
      </c>
    </row>
    <row r="22" ht="15.15" spans="1:14">
      <c r="A22" s="4">
        <v>21</v>
      </c>
      <c r="B22" s="5" t="s">
        <v>72</v>
      </c>
      <c r="C22" s="6" t="s">
        <v>73</v>
      </c>
      <c r="D22" s="5" t="s">
        <v>64</v>
      </c>
      <c r="E22" s="5">
        <v>110.289722</v>
      </c>
      <c r="F22" s="5">
        <v>40.693278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6" t="s">
        <v>68</v>
      </c>
      <c r="N22" s="15" t="s">
        <v>74</v>
      </c>
    </row>
    <row r="23" ht="15.15" spans="1:14">
      <c r="A23" s="10">
        <v>22</v>
      </c>
      <c r="B23" s="11" t="s">
        <v>75</v>
      </c>
      <c r="C23" s="12" t="s">
        <v>76</v>
      </c>
      <c r="D23" s="11" t="s">
        <v>64</v>
      </c>
      <c r="E23" s="11">
        <v>110.248972</v>
      </c>
      <c r="F23" s="11">
        <v>40.723944</v>
      </c>
      <c r="G23" s="13">
        <v>0</v>
      </c>
      <c r="H23" s="14">
        <v>2</v>
      </c>
      <c r="I23" s="14">
        <v>0</v>
      </c>
      <c r="J23" s="14">
        <v>0</v>
      </c>
      <c r="K23" s="14">
        <v>0</v>
      </c>
      <c r="L23" s="14">
        <v>0</v>
      </c>
      <c r="M23" s="12" t="s">
        <v>68</v>
      </c>
    </row>
    <row r="24" ht="15.15" spans="1:14">
      <c r="A24" s="4">
        <v>23</v>
      </c>
      <c r="B24" s="5" t="s">
        <v>77</v>
      </c>
      <c r="C24" s="6" t="s">
        <v>78</v>
      </c>
      <c r="D24" s="5" t="s">
        <v>64</v>
      </c>
      <c r="E24" s="5">
        <v>110.239833</v>
      </c>
      <c r="F24" s="5">
        <v>40.720806</v>
      </c>
      <c r="G24" s="7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6" t="s">
        <v>68</v>
      </c>
    </row>
    <row r="25" ht="43.95" spans="1:14">
      <c r="A25" s="10">
        <v>24</v>
      </c>
      <c r="B25" s="11" t="s">
        <v>79</v>
      </c>
      <c r="C25" s="12" t="s">
        <v>80</v>
      </c>
      <c r="D25" s="11" t="s">
        <v>64</v>
      </c>
      <c r="E25" s="11">
        <v>110.250028</v>
      </c>
      <c r="F25" s="11">
        <v>40.72875</v>
      </c>
      <c r="G25" s="13">
        <v>0</v>
      </c>
      <c r="H25" s="14">
        <v>2</v>
      </c>
      <c r="I25" s="14">
        <v>0</v>
      </c>
      <c r="J25" s="14">
        <v>0</v>
      </c>
      <c r="K25" s="14">
        <v>0</v>
      </c>
      <c r="L25" s="14">
        <v>1</v>
      </c>
      <c r="M25" s="12" t="s">
        <v>65</v>
      </c>
    </row>
    <row r="26" ht="29.55" spans="1:14">
      <c r="A26" s="4">
        <v>25</v>
      </c>
      <c r="B26" s="5" t="s">
        <v>81</v>
      </c>
      <c r="C26" s="6" t="s">
        <v>82</v>
      </c>
      <c r="D26" s="5" t="s">
        <v>64</v>
      </c>
      <c r="E26" s="5">
        <v>110.224972</v>
      </c>
      <c r="F26" s="5">
        <v>40.714083</v>
      </c>
      <c r="G26" s="7">
        <v>0</v>
      </c>
      <c r="H26" s="8">
        <v>2</v>
      </c>
      <c r="I26" s="8">
        <v>0</v>
      </c>
      <c r="J26" s="8">
        <v>1</v>
      </c>
      <c r="K26" s="8">
        <v>0</v>
      </c>
      <c r="L26" s="8">
        <v>0</v>
      </c>
      <c r="M26" s="6" t="s">
        <v>71</v>
      </c>
    </row>
    <row r="27" ht="15.15" spans="1:14">
      <c r="A27" s="10">
        <v>26</v>
      </c>
      <c r="B27" s="11" t="s">
        <v>83</v>
      </c>
      <c r="C27" s="12" t="s">
        <v>84</v>
      </c>
      <c r="D27" s="11" t="s">
        <v>64</v>
      </c>
      <c r="E27" s="11">
        <v>110.216111</v>
      </c>
      <c r="F27" s="11">
        <v>40.708194</v>
      </c>
      <c r="G27" s="13">
        <v>0</v>
      </c>
      <c r="H27" s="14">
        <v>1</v>
      </c>
      <c r="I27" s="14">
        <v>0</v>
      </c>
      <c r="J27" s="14">
        <v>0</v>
      </c>
      <c r="K27" s="14">
        <v>0</v>
      </c>
      <c r="L27" s="14">
        <v>0</v>
      </c>
      <c r="M27" s="12" t="s">
        <v>68</v>
      </c>
    </row>
    <row r="28" ht="43.95" spans="1:14">
      <c r="A28" s="4">
        <v>27</v>
      </c>
      <c r="B28" s="5" t="s">
        <v>85</v>
      </c>
      <c r="C28" s="6" t="s">
        <v>86</v>
      </c>
      <c r="D28" s="5" t="s">
        <v>64</v>
      </c>
      <c r="E28" s="5">
        <v>110.296611</v>
      </c>
      <c r="F28" s="5">
        <v>40.642556</v>
      </c>
      <c r="G28" s="7">
        <v>0</v>
      </c>
      <c r="H28" s="8">
        <v>0</v>
      </c>
      <c r="I28" s="8">
        <v>2</v>
      </c>
      <c r="J28" s="8">
        <v>1</v>
      </c>
      <c r="K28" s="8">
        <v>0</v>
      </c>
      <c r="L28" s="8">
        <v>1</v>
      </c>
      <c r="M28" s="6" t="s">
        <v>65</v>
      </c>
    </row>
    <row r="29" ht="29.55" spans="1:14">
      <c r="A29" s="10">
        <v>28</v>
      </c>
      <c r="B29" s="11" t="s">
        <v>87</v>
      </c>
      <c r="C29" s="12" t="s">
        <v>88</v>
      </c>
      <c r="D29" s="11" t="s">
        <v>64</v>
      </c>
      <c r="E29" s="11">
        <v>110.231056</v>
      </c>
      <c r="F29" s="11">
        <v>40.684444</v>
      </c>
      <c r="G29" s="13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2" t="s">
        <v>71</v>
      </c>
    </row>
    <row r="30" ht="29.55" spans="1:14">
      <c r="A30" s="4">
        <v>29</v>
      </c>
      <c r="B30" s="5" t="s">
        <v>89</v>
      </c>
      <c r="C30" s="6" t="s">
        <v>90</v>
      </c>
      <c r="D30" s="5" t="s">
        <v>64</v>
      </c>
      <c r="E30" s="5">
        <v>110.202111</v>
      </c>
      <c r="F30" s="5">
        <v>40.682694</v>
      </c>
      <c r="G30" s="7">
        <v>0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6" t="s">
        <v>71</v>
      </c>
    </row>
    <row r="31" ht="43.95" spans="1:14">
      <c r="A31" s="10">
        <v>30</v>
      </c>
      <c r="B31" s="11" t="s">
        <v>91</v>
      </c>
      <c r="C31" s="12" t="s">
        <v>92</v>
      </c>
      <c r="D31" s="11" t="s">
        <v>64</v>
      </c>
      <c r="E31" s="11">
        <v>110.254333</v>
      </c>
      <c r="F31" s="11">
        <v>40.750667</v>
      </c>
      <c r="G31" s="13">
        <v>0</v>
      </c>
      <c r="H31" s="14">
        <v>2</v>
      </c>
      <c r="I31" s="14">
        <v>0</v>
      </c>
      <c r="J31" s="14">
        <v>1</v>
      </c>
      <c r="K31" s="14">
        <v>0</v>
      </c>
      <c r="L31" s="14">
        <v>1</v>
      </c>
      <c r="M31" s="12" t="s">
        <v>65</v>
      </c>
    </row>
    <row r="32" ht="29.55" spans="1:14">
      <c r="A32" s="4">
        <v>31</v>
      </c>
      <c r="B32" s="5" t="s">
        <v>93</v>
      </c>
      <c r="C32" s="6" t="s">
        <v>94</v>
      </c>
      <c r="D32" s="5" t="s">
        <v>22</v>
      </c>
      <c r="E32" s="5">
        <v>110.261019</v>
      </c>
      <c r="F32" s="5">
        <v>40.699214</v>
      </c>
      <c r="G32" s="7">
        <v>0</v>
      </c>
      <c r="H32" s="8">
        <v>3</v>
      </c>
      <c r="I32" s="8">
        <v>0</v>
      </c>
      <c r="J32" s="8">
        <v>1</v>
      </c>
      <c r="K32" s="8">
        <v>0</v>
      </c>
      <c r="L32" s="8">
        <v>0</v>
      </c>
      <c r="M32" s="6" t="s">
        <v>26</v>
      </c>
    </row>
    <row r="33" ht="15.15" spans="1:14">
      <c r="A33" s="10">
        <v>32</v>
      </c>
      <c r="B33" s="11" t="s">
        <v>95</v>
      </c>
      <c r="C33" s="12" t="s">
        <v>96</v>
      </c>
      <c r="D33" s="11" t="s">
        <v>64</v>
      </c>
      <c r="E33" s="11">
        <v>110.143084</v>
      </c>
      <c r="F33" s="11">
        <v>40.678411</v>
      </c>
      <c r="G33" s="13">
        <v>0</v>
      </c>
      <c r="H33" s="14">
        <v>1</v>
      </c>
      <c r="I33" s="14">
        <v>0</v>
      </c>
      <c r="J33" s="14">
        <v>0</v>
      </c>
      <c r="K33" s="14">
        <v>0</v>
      </c>
      <c r="L33" s="14">
        <v>0</v>
      </c>
      <c r="M33" s="12" t="s">
        <v>68</v>
      </c>
    </row>
    <row r="34" ht="29.55" spans="1:14">
      <c r="A34" s="4">
        <v>33</v>
      </c>
      <c r="B34" s="5" t="s">
        <v>95</v>
      </c>
      <c r="C34" s="6" t="s">
        <v>97</v>
      </c>
      <c r="D34" s="5" t="s">
        <v>64</v>
      </c>
      <c r="E34" s="5">
        <v>110.238826</v>
      </c>
      <c r="F34" s="5">
        <v>40.688121</v>
      </c>
      <c r="G34" s="5">
        <v>0</v>
      </c>
      <c r="H34" s="5">
        <v>1</v>
      </c>
      <c r="I34" s="5">
        <v>0</v>
      </c>
      <c r="J34" s="5">
        <v>1</v>
      </c>
      <c r="K34" s="5">
        <v>0</v>
      </c>
      <c r="L34" s="5">
        <v>1</v>
      </c>
      <c r="M34" s="6" t="s">
        <v>98</v>
      </c>
      <c r="N34" s="15" t="s">
        <v>99</v>
      </c>
    </row>
    <row r="35" ht="15.15" spans="1:14">
      <c r="A35" s="10" t="s">
        <v>100</v>
      </c>
      <c r="B35" s="11"/>
      <c r="C35" s="12"/>
      <c r="D35" s="11"/>
      <c r="E35" s="11"/>
      <c r="F35" s="11"/>
      <c r="G35" s="11">
        <f t="shared" ref="G35:L35" si="0">SUM(G2:G34)</f>
        <v>2</v>
      </c>
      <c r="H35" s="11">
        <f t="shared" si="0"/>
        <v>40</v>
      </c>
      <c r="I35" s="11">
        <f t="shared" si="0"/>
        <v>9</v>
      </c>
      <c r="J35" s="11">
        <f t="shared" si="0"/>
        <v>20</v>
      </c>
      <c r="K35" s="11">
        <f t="shared" si="0"/>
        <v>4</v>
      </c>
      <c r="L35" s="11">
        <f t="shared" si="0"/>
        <v>10</v>
      </c>
      <c r="M35" s="12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WPS_1716453840</cp:lastModifiedBy>
  <dcterms:created xsi:type="dcterms:W3CDTF">2026-10-18T01:26:00Z</dcterms:created>
  <dcterms:modified xsi:type="dcterms:W3CDTF">2026-10-18T10:53:20Z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A31A2C25B43C45C288331983C64EA7E4_11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